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/>
  <xr:revisionPtr revIDLastSave="0" documentId="8_{E13A6944-5648-4A6B-9BD7-DE0D9D8D8704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Overview" sheetId="1" r:id="rId1"/>
    <sheet name="Region Analysis" sheetId="2" r:id="rId2"/>
    <sheet name="Top Reps" sheetId="3" r:id="rId3"/>
    <sheet name="Funnel Analysis" sheetId="4" r:id="rId4"/>
  </sheets>
  <definedNames>
    <definedName name="_xlchart.v2.0" hidden="1">'Funnel Analysis'!$D$7:$D$10</definedName>
    <definedName name="_xlchart.v2.1" hidden="1">'Funnel Analysis'!$E$6</definedName>
    <definedName name="_xlchart.v2.2" hidden="1">'Funnel Analysis'!$E$7:$E$10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4" l="1"/>
  <c r="F7" i="4" l="1"/>
  <c r="F8" i="4"/>
  <c r="F9" i="4"/>
  <c r="F10" i="4"/>
</calcChain>
</file>

<file path=xl/sharedStrings.xml><?xml version="1.0" encoding="utf-8"?>
<sst xmlns="http://schemas.openxmlformats.org/spreadsheetml/2006/main" count="37" uniqueCount="35">
  <si>
    <t>Overall Sales Performance Summary</t>
  </si>
  <si>
    <t>Total_Revenue</t>
  </si>
  <si>
    <t>Total deals</t>
  </si>
  <si>
    <t>Average Deal Size</t>
  </si>
  <si>
    <t xml:space="preserve">Win Rate </t>
  </si>
  <si>
    <t>Region Analysis</t>
  </si>
  <si>
    <t>Regional Office</t>
  </si>
  <si>
    <t>Revenue</t>
  </si>
  <si>
    <t xml:space="preserve">Deals per region </t>
  </si>
  <si>
    <t>West</t>
  </si>
  <si>
    <t>Central</t>
  </si>
  <si>
    <t>East</t>
  </si>
  <si>
    <t>Top 10 Sales Representatives</t>
  </si>
  <si>
    <t>Sales Agent</t>
  </si>
  <si>
    <t>Deals won closed</t>
  </si>
  <si>
    <t>Darcel Schlecht</t>
  </si>
  <si>
    <t>Vicki Laflamme</t>
  </si>
  <si>
    <t>Kary Hendrixson</t>
  </si>
  <si>
    <t>Cassey Cress</t>
  </si>
  <si>
    <t>Donn Cantrell</t>
  </si>
  <si>
    <t>Reed Clapper</t>
  </si>
  <si>
    <t>Zane Levy</t>
  </si>
  <si>
    <t>Corliss Cosme</t>
  </si>
  <si>
    <t>James Ascencio</t>
  </si>
  <si>
    <t>Daniell Hammack</t>
  </si>
  <si>
    <t>Graphical Representation</t>
  </si>
  <si>
    <t>Funnel Analysis</t>
  </si>
  <si>
    <t>Deal Stage</t>
  </si>
  <si>
    <t xml:space="preserve">Total number of deals </t>
  </si>
  <si>
    <t>%of total deals</t>
  </si>
  <si>
    <t>Prospecting</t>
  </si>
  <si>
    <t>Engaging</t>
  </si>
  <si>
    <t>Closed Lost</t>
  </si>
  <si>
    <t>Closed Won</t>
  </si>
  <si>
    <t>Total Deals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</si>
</sst>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6">
    <font>
      <sz val="11"/>
      <color theme="1"/>
      <name val="Aptos Narrow"/>
      <family val="2"/>
      <scheme val="minor"/>
    </font>
    <font>
      <b/>
      <sz val="10"/>
      <color theme="4"/>
      <name val="Helvetica Neue"/>
      <charset val="1"/>
    </font>
    <font>
      <b/>
      <sz val="8"/>
      <color rgb="FF000000"/>
      <name val="Times New Roman"/>
    </font>
    <font>
      <b/>
      <sz val="9"/>
      <color rgb="FF000000"/>
      <name val="Times New Roman"/>
    </font>
    <font>
      <b/>
      <sz val="11"/>
      <color theme="4"/>
      <name val="Aptos Display"/>
      <scheme val="major"/>
    </font>
    <font>
      <sz val="8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2" fontId="2" fillId="3" borderId="1" xfId="0" applyNumberFormat="1" applyFont="1" applyFill="1" applyBorder="1" applyAlignment="1">
      <alignment wrapText="1"/>
    </xf>
    <xf numFmtId="164" fontId="3" fillId="2" borderId="1" xfId="0" applyNumberFormat="1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3" fontId="2" fillId="3" borderId="1" xfId="0" applyNumberFormat="1" applyFont="1" applyFill="1" applyBorder="1" applyAlignment="1">
      <alignment wrapText="1"/>
    </xf>
    <xf numFmtId="0" fontId="5" fillId="0" borderId="0" xfId="0" applyFont="1"/>
    <xf numFmtId="3" fontId="0" fillId="0" borderId="0" xfId="0" applyNumberFormat="1"/>
    <xf numFmtId="10" fontId="0" fillId="0" borderId="0" xfId="0" applyNumberFormat="1"/>
    <xf numFmtId="0" fontId="3" fillId="2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3" fontId="2" fillId="3" borderId="4" xfId="0" applyNumberFormat="1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6" xfId="0" applyFont="1" applyFill="1" applyBorder="1" applyAlignment="1">
      <alignment wrapText="1"/>
    </xf>
    <xf numFmtId="0" fontId="2" fillId="3" borderId="7" xfId="0" applyFont="1" applyFill="1" applyBorder="1" applyAlignment="1">
      <alignment wrapText="1"/>
    </xf>
    <xf numFmtId="164" fontId="2" fillId="3" borderId="8" xfId="0" applyNumberFormat="1" applyFont="1" applyFill="1" applyBorder="1" applyAlignment="1">
      <alignment wrapText="1"/>
    </xf>
    <xf numFmtId="3" fontId="2" fillId="3" borderId="9" xfId="0" applyNumberFormat="1" applyFont="1" applyFill="1" applyBorder="1" applyAlignment="1">
      <alignment wrapText="1"/>
    </xf>
    <xf numFmtId="0" fontId="4" fillId="4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20"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scheme val="none"/>
      </font>
      <numFmt numFmtId="164" formatCode="&quot;£&quot;#,##0.00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scheme val="none"/>
      </font>
      <numFmt numFmtId="164" formatCode="&quot;£&quot;#,##0.00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scheme val="none"/>
      </font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Revenue per Agent</a:t>
            </a:r>
          </a:p>
        </c:rich>
      </c:tx>
      <c:layout>
        <c:manualLayout>
          <c:xMode val="edge"/>
          <c:yMode val="edge"/>
          <c:x val="0.42596746701174426"/>
          <c:y val="3.5241567915674871E-2"/>
        </c:manualLayout>
      </c:layout>
      <c:overlay val="0"/>
      <c:spPr>
        <a:solidFill>
          <a:srgbClr val="E8E8E8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Reps'!$E$6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Reps'!$D$7:$D$16</c:f>
              <c:strCache>
                <c:ptCount val="10"/>
                <c:pt idx="0">
                  <c:v>Darcel Schlecht</c:v>
                </c:pt>
                <c:pt idx="1">
                  <c:v>Vicki Laflamme</c:v>
                </c:pt>
                <c:pt idx="2">
                  <c:v>Kary Hendrixson</c:v>
                </c:pt>
                <c:pt idx="3">
                  <c:v>Cassey Cress</c:v>
                </c:pt>
                <c:pt idx="4">
                  <c:v>Donn Cantrell</c:v>
                </c:pt>
                <c:pt idx="5">
                  <c:v>Reed Clapper</c:v>
                </c:pt>
                <c:pt idx="6">
                  <c:v>Zane Levy</c:v>
                </c:pt>
                <c:pt idx="7">
                  <c:v>Corliss Cosme</c:v>
                </c:pt>
                <c:pt idx="8">
                  <c:v>James Ascencio</c:v>
                </c:pt>
                <c:pt idx="9">
                  <c:v>Daniell Hammack</c:v>
                </c:pt>
              </c:strCache>
            </c:strRef>
          </c:cat>
          <c:val>
            <c:numRef>
              <c:f>'Top Reps'!$E$7:$E$16</c:f>
              <c:numCache>
                <c:formatCode>"£"#,##0.00</c:formatCode>
                <c:ptCount val="10"/>
                <c:pt idx="0">
                  <c:v>1153214</c:v>
                </c:pt>
                <c:pt idx="1">
                  <c:v>478396</c:v>
                </c:pt>
                <c:pt idx="2">
                  <c:v>454298</c:v>
                </c:pt>
                <c:pt idx="3">
                  <c:v>450489</c:v>
                </c:pt>
                <c:pt idx="4">
                  <c:v>445860</c:v>
                </c:pt>
                <c:pt idx="5">
                  <c:v>438336</c:v>
                </c:pt>
                <c:pt idx="6">
                  <c:v>430068</c:v>
                </c:pt>
                <c:pt idx="7">
                  <c:v>421036</c:v>
                </c:pt>
                <c:pt idx="8">
                  <c:v>413533</c:v>
                </c:pt>
                <c:pt idx="9">
                  <c:v>364229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1-46EE-BC95-EA9EA5978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9772424"/>
        <c:axId val="1339774984"/>
      </c:barChart>
      <c:catAx>
        <c:axId val="1339772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774984"/>
        <c:crosses val="autoZero"/>
        <c:auto val="1"/>
        <c:lblAlgn val="ctr"/>
        <c:lblOffset val="100"/>
        <c:noMultiLvlLbl val="0"/>
      </c:catAx>
      <c:valAx>
        <c:axId val="1339774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772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Sales Efficiency Analysis: Revenue vs Deals Closed</a:t>
            </a:r>
          </a:p>
        </c:rich>
      </c:tx>
      <c:overlay val="0"/>
      <c:spPr>
        <a:solidFill>
          <a:srgbClr val="E8E8E8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'Top Reps'!$E$6</c:f>
              <c:strCache>
                <c:ptCount val="1"/>
                <c:pt idx="0">
                  <c:v>Revenue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'Top Reps'!$D$7:$D$16</c:f>
              <c:strCache>
                <c:ptCount val="10"/>
                <c:pt idx="0">
                  <c:v>Darcel Schlecht</c:v>
                </c:pt>
                <c:pt idx="1">
                  <c:v>Vicki Laflamme</c:v>
                </c:pt>
                <c:pt idx="2">
                  <c:v>Kary Hendrixson</c:v>
                </c:pt>
                <c:pt idx="3">
                  <c:v>Cassey Cress</c:v>
                </c:pt>
                <c:pt idx="4">
                  <c:v>Donn Cantrell</c:v>
                </c:pt>
                <c:pt idx="5">
                  <c:v>Reed Clapper</c:v>
                </c:pt>
                <c:pt idx="6">
                  <c:v>Zane Levy</c:v>
                </c:pt>
                <c:pt idx="7">
                  <c:v>Corliss Cosme</c:v>
                </c:pt>
                <c:pt idx="8">
                  <c:v>James Ascencio</c:v>
                </c:pt>
                <c:pt idx="9">
                  <c:v>Daniell Hammack</c:v>
                </c:pt>
              </c:strCache>
            </c:strRef>
          </c:xVal>
          <c:yVal>
            <c:numRef>
              <c:f>'Top Reps'!$E$7:$E$16</c:f>
              <c:numCache>
                <c:formatCode>"£"#,##0.00</c:formatCode>
                <c:ptCount val="10"/>
                <c:pt idx="0">
                  <c:v>1153214</c:v>
                </c:pt>
                <c:pt idx="1">
                  <c:v>478396</c:v>
                </c:pt>
                <c:pt idx="2">
                  <c:v>454298</c:v>
                </c:pt>
                <c:pt idx="3">
                  <c:v>450489</c:v>
                </c:pt>
                <c:pt idx="4">
                  <c:v>445860</c:v>
                </c:pt>
                <c:pt idx="5">
                  <c:v>438336</c:v>
                </c:pt>
                <c:pt idx="6">
                  <c:v>430068</c:v>
                </c:pt>
                <c:pt idx="7">
                  <c:v>421036</c:v>
                </c:pt>
                <c:pt idx="8">
                  <c:v>413533</c:v>
                </c:pt>
                <c:pt idx="9">
                  <c:v>364229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1F-46A0-8A69-A7AA63793FBF}"/>
            </c:ext>
          </c:extLst>
        </c:ser>
        <c:ser>
          <c:idx val="1"/>
          <c:order val="1"/>
          <c:tx>
            <c:strRef>
              <c:f>'Top Reps'!$F$6</c:f>
              <c:strCache>
                <c:ptCount val="1"/>
                <c:pt idx="0">
                  <c:v>Deals won closed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'Top Reps'!$D$7:$D$16</c:f>
              <c:strCache>
                <c:ptCount val="10"/>
                <c:pt idx="0">
                  <c:v>Darcel Schlecht</c:v>
                </c:pt>
                <c:pt idx="1">
                  <c:v>Vicki Laflamme</c:v>
                </c:pt>
                <c:pt idx="2">
                  <c:v>Kary Hendrixson</c:v>
                </c:pt>
                <c:pt idx="3">
                  <c:v>Cassey Cress</c:v>
                </c:pt>
                <c:pt idx="4">
                  <c:v>Donn Cantrell</c:v>
                </c:pt>
                <c:pt idx="5">
                  <c:v>Reed Clapper</c:v>
                </c:pt>
                <c:pt idx="6">
                  <c:v>Zane Levy</c:v>
                </c:pt>
                <c:pt idx="7">
                  <c:v>Corliss Cosme</c:v>
                </c:pt>
                <c:pt idx="8">
                  <c:v>James Ascencio</c:v>
                </c:pt>
                <c:pt idx="9">
                  <c:v>Daniell Hammack</c:v>
                </c:pt>
              </c:strCache>
            </c:strRef>
          </c:xVal>
          <c:yVal>
            <c:numRef>
              <c:f>'Top Reps'!$F$7:$F$16</c:f>
              <c:numCache>
                <c:formatCode>#,##0</c:formatCode>
                <c:ptCount val="10"/>
                <c:pt idx="0">
                  <c:v>349</c:v>
                </c:pt>
                <c:pt idx="1">
                  <c:v>221</c:v>
                </c:pt>
                <c:pt idx="2">
                  <c:v>209</c:v>
                </c:pt>
                <c:pt idx="3">
                  <c:v>163</c:v>
                </c:pt>
                <c:pt idx="4">
                  <c:v>158</c:v>
                </c:pt>
                <c:pt idx="5">
                  <c:v>155</c:v>
                </c:pt>
                <c:pt idx="6">
                  <c:v>161</c:v>
                </c:pt>
                <c:pt idx="7">
                  <c:v>150</c:v>
                </c:pt>
                <c:pt idx="8">
                  <c:v>135</c:v>
                </c:pt>
                <c:pt idx="9">
                  <c:v>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1F-46A0-8A69-A7AA63793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789320"/>
        <c:axId val="1339791368"/>
      </c:scatterChart>
      <c:valAx>
        <c:axId val="1339789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791368"/>
        <c:crosses val="autoZero"/>
        <c:crossBetween val="midCat"/>
      </c:valAx>
      <c:valAx>
        <c:axId val="1339791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789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Stage % Bifurcation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'Funnel Analysis'!$F$7:$F$10</c:f>
              <c:numCache>
                <c:formatCode>0.00%</c:formatCode>
                <c:ptCount val="4"/>
                <c:pt idx="0">
                  <c:v>5.6818181818181816E-2</c:v>
                </c:pt>
                <c:pt idx="1">
                  <c:v>0.18056818181818182</c:v>
                </c:pt>
                <c:pt idx="2">
                  <c:v>0.28102272727272726</c:v>
                </c:pt>
                <c:pt idx="3">
                  <c:v>0.48159090909090907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71-4C37-9BCD-00C5EDC39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Sales Funnel</cx:v>
        </cx:txData>
      </cx:tx>
      <cx:spPr>
        <a:solidFill>
          <a:srgbClr val="E8E8E8"/>
        </a:solidFill>
        <a:ln w="12700">
          <a:solidFill>
            <a:srgbClr val="FFFFFF"/>
          </a:solidFill>
          <a:prstDash val="solid"/>
        </a:ln>
      </cx:spPr>
      <cx:txPr>
        <a:bodyPr vertOverflow="overflow" horzOverflow="overflow" wrap="square" lIns="0" tIns="0" rIns="0" bIns="0"/>
        <a:lstStyle/>
        <a:p>
          <a:pPr algn="ctr" rtl="0">
            <a:defRPr sz="1200" b="1" i="0">
              <a:solidFill>
                <a:srgbClr val="000000"/>
              </a:solidFill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defRPr>
          </a:pPr>
          <a:r>
            <a:rPr sz="1200" b="1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Sales Funnel</a:t>
          </a:r>
        </a:p>
      </cx:txPr>
    </cx:title>
    <cx:plotArea>
      <cx:plotAreaRegion>
        <cx:series layoutId="funnel" uniqueId="{00000000-579D-4FA8-9405-91E88CC69991}">
          <cx:tx>
            <cx:txData>
              <cx:f>_xlchart.v2.1</cx:f>
              <cx:v>Total number of deals 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571500</xdr:colOff>
      <xdr:row>23</xdr:row>
      <xdr:rowOff>180975</xdr:rowOff>
    </xdr:from>
    <xdr:to>
      <xdr:col>16</xdr:col>
      <xdr:colOff>314325</xdr:colOff>
      <xdr:row>39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23F7DA-ED7D-B913-FF86-546BB8EAAA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485775</xdr:colOff>
      <xdr:row>24</xdr:row>
      <xdr:rowOff>9525</xdr:rowOff>
    </xdr:from>
    <xdr:to>
      <xdr:col>7</xdr:col>
      <xdr:colOff>161925</xdr:colOff>
      <xdr:row>39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31B75AE-5557-9458-7224-4907E304E885}"/>
            </a:ext>
            <a:ext uri="{147F2762-F138-4A5C-976F-8EAC2B608ADB}">
              <a16:predDERef xmlns:a16="http://schemas.microsoft.com/office/drawing/2014/main" pred="{8C23F7DA-ED7D-B913-FF86-546BB8EAAA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285750</xdr:colOff>
      <xdr:row>16</xdr:row>
      <xdr:rowOff>0</xdr:rowOff>
    </xdr:from>
    <xdr:to>
      <xdr:col>15</xdr:col>
      <xdr:colOff>590550</xdr:colOff>
      <xdr:row>30</xdr:row>
      <xdr:rowOff>142875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1DF9838-4FE7-A59C-B0CF-1E6AC7463E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381000</xdr:colOff>
      <xdr:row>16</xdr:row>
      <xdr:rowOff>38100</xdr:rowOff>
    </xdr:from>
    <xdr:to>
      <xdr:col>8</xdr:col>
      <xdr:colOff>19050</xdr:colOff>
      <xdr:row>30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76D4FC-7BA6-643F-5A28-393595ACA4D7}"/>
            </a:ext>
            <a:ext uri="{147F2762-F138-4A5C-976F-8EAC2B608ADB}">
              <a16:predDERef xmlns:a16="http://schemas.microsoft.com/office/drawing/2014/main" pred="{21DF9838-4FE7-A59C-B0CF-1E6AC7463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B5756A-7B8C-4661-92FF-837DB5272F59}" name="Table2" displayName="Table2" ref="D6:F9" totalsRowShown="0" headerRowDxfId="19" headerRowBorderDxfId="17" tableBorderDxfId="18" totalsRowBorderDxfId="16">
  <autoFilter ref="D6:F9" xr:uid="{88B5756A-7B8C-4661-92FF-837DB5272F59}"/>
  <tableColumns count="3">
    <tableColumn id="1" xr3:uid="{834FDD7D-B4E4-4975-9BB4-450941CBE345}" name="Regional Office" dataDxfId="15"/>
    <tableColumn id="2" xr3:uid="{F3C55AA1-D56F-49F5-A0A3-E213E75F7019}" name="Revenue" dataDxfId="14"/>
    <tableColumn id="3" xr3:uid="{7C84095B-AEDB-4A53-BAB4-B2BDE18D6D7B}" name="Deals per region 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3AC5C9-CF3C-48A2-BC29-310969347D53}" name="Table3" displayName="Table3" ref="D6:F16" totalsRowShown="0" headerRowDxfId="12" headerRowBorderDxfId="10" tableBorderDxfId="11" totalsRowBorderDxfId="9">
  <autoFilter ref="D6:F16" xr:uid="{B13AC5C9-CF3C-48A2-BC29-310969347D53}"/>
  <tableColumns count="3">
    <tableColumn id="1" xr3:uid="{78A5CD43-4526-480E-A026-3AB87EBC4BBC}" name="Sales Agent" dataDxfId="8"/>
    <tableColumn id="2" xr3:uid="{78F19A22-BB35-46C6-8FB3-65221E437D2A}" name="Revenue" dataDxfId="7"/>
    <tableColumn id="3" xr3:uid="{7C9F1269-B15D-4036-8D21-15DB3F835ECE}" name="Deals won closed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0E7565-8BC0-479F-AEBD-2731EF2E4E78}" name="Table1" displayName="Table1" ref="D6:F11" totalsRowShown="0" headerRowDxfId="5" headerRowBorderDxfId="3" tableBorderDxfId="4">
  <autoFilter ref="D6:F11" xr:uid="{5D0E7565-8BC0-479F-AEBD-2731EF2E4E78}"/>
  <tableColumns count="3">
    <tableColumn id="1" xr3:uid="{3897392D-1E11-447B-B1C6-84AE2E7320A2}" name="Deal Stage" dataDxfId="2"/>
    <tableColumn id="2" xr3:uid="{FBBD8D71-06FB-49DB-86E2-055F3C7FBB6A}" name="Total number of deals " dataDxfId="1"/>
    <tableColumn id="3" xr3:uid="{D58440EE-7CBD-428E-93C7-05A1DA02F3B9}" name="%of total deal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G16"/>
  <sheetViews>
    <sheetView topLeftCell="B1" workbookViewId="0">
      <selection activeCell="G6" sqref="G6:G7"/>
    </sheetView>
  </sheetViews>
  <sheetFormatPr defaultRowHeight="15"/>
  <cols>
    <col min="4" max="4" width="15.140625" customWidth="1"/>
    <col min="5" max="5" width="12.85546875" customWidth="1"/>
    <col min="6" max="6" width="13.5703125" customWidth="1"/>
    <col min="7" max="7" width="15.85546875" customWidth="1"/>
  </cols>
  <sheetData>
    <row r="3" spans="4:7" ht="21.75" customHeight="1">
      <c r="D3" s="19" t="s">
        <v>0</v>
      </c>
      <c r="E3" s="19"/>
      <c r="F3" s="19"/>
      <c r="G3" s="19"/>
    </row>
    <row r="6" spans="4:7" ht="22.5">
      <c r="D6" s="4" t="s">
        <v>1</v>
      </c>
      <c r="E6" s="4" t="s">
        <v>2</v>
      </c>
      <c r="F6" s="4" t="s">
        <v>3</v>
      </c>
      <c r="G6" s="4" t="s">
        <v>4</v>
      </c>
    </row>
    <row r="7" spans="4:7" ht="13.5">
      <c r="D7" s="5">
        <v>10005534</v>
      </c>
      <c r="E7" s="6">
        <v>8800</v>
      </c>
      <c r="F7" s="5">
        <v>1136.9925000000001</v>
      </c>
      <c r="G7" s="3">
        <v>48.159090909090899</v>
      </c>
    </row>
    <row r="16" spans="4:7">
      <c r="D16" s="20"/>
      <c r="E16" s="20"/>
      <c r="F16" s="20"/>
      <c r="G16" s="20"/>
    </row>
  </sheetData>
  <mergeCells count="2">
    <mergeCell ref="D3:G3"/>
    <mergeCell ref="D16:G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91358-DF61-4D1E-8D15-21EFBAA4D40F}">
  <dimension ref="D2:F9"/>
  <sheetViews>
    <sheetView topLeftCell="B1" workbookViewId="0">
      <selection activeCell="F7" sqref="F7"/>
    </sheetView>
  </sheetViews>
  <sheetFormatPr defaultRowHeight="15"/>
  <cols>
    <col min="4" max="5" width="14.5703125" customWidth="1"/>
    <col min="6" max="6" width="15.5703125" customWidth="1"/>
  </cols>
  <sheetData>
    <row r="2" spans="4:6" ht="13.5" customHeight="1"/>
    <row r="3" spans="4:6" ht="16.5" customHeight="1">
      <c r="D3" s="19" t="s">
        <v>5</v>
      </c>
      <c r="E3" s="19"/>
      <c r="F3" s="19"/>
    </row>
    <row r="6" spans="4:6">
      <c r="D6" s="13" t="s">
        <v>6</v>
      </c>
      <c r="E6" s="10" t="s">
        <v>7</v>
      </c>
      <c r="F6" s="14" t="s">
        <v>8</v>
      </c>
    </row>
    <row r="7" spans="4:6" ht="13.5">
      <c r="D7" s="11" t="s">
        <v>9</v>
      </c>
      <c r="E7" s="5">
        <v>3568647</v>
      </c>
      <c r="F7" s="12">
        <v>2997</v>
      </c>
    </row>
    <row r="8" spans="4:6" ht="13.5">
      <c r="D8" s="11" t="s">
        <v>10</v>
      </c>
      <c r="E8" s="5">
        <v>3346293</v>
      </c>
      <c r="F8" s="12">
        <v>3512</v>
      </c>
    </row>
    <row r="9" spans="4:6" ht="13.5">
      <c r="D9" s="15" t="s">
        <v>11</v>
      </c>
      <c r="E9" s="16">
        <v>3090594</v>
      </c>
      <c r="F9" s="17">
        <v>2291</v>
      </c>
    </row>
  </sheetData>
  <mergeCells count="1">
    <mergeCell ref="D3:F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E81A7-CE13-409E-9073-5739DC480700}">
  <dimension ref="D3:F21"/>
  <sheetViews>
    <sheetView topLeftCell="A2" workbookViewId="0">
      <selection activeCell="F7" sqref="F7:F16"/>
    </sheetView>
  </sheetViews>
  <sheetFormatPr defaultRowHeight="15"/>
  <cols>
    <col min="4" max="4" width="16.85546875" customWidth="1"/>
    <col min="5" max="5" width="13.7109375" customWidth="1"/>
    <col min="6" max="6" width="15.5703125" customWidth="1"/>
  </cols>
  <sheetData>
    <row r="3" spans="4:6" ht="21" customHeight="1">
      <c r="D3" s="19" t="s">
        <v>12</v>
      </c>
      <c r="E3" s="19"/>
      <c r="F3" s="19"/>
    </row>
    <row r="6" spans="4:6">
      <c r="D6" s="13" t="s">
        <v>13</v>
      </c>
      <c r="E6" s="10" t="s">
        <v>7</v>
      </c>
      <c r="F6" s="14" t="s">
        <v>14</v>
      </c>
    </row>
    <row r="7" spans="4:6" ht="13.5">
      <c r="D7" s="11" t="s">
        <v>15</v>
      </c>
      <c r="E7" s="5">
        <v>1153214</v>
      </c>
      <c r="F7" s="12">
        <v>349</v>
      </c>
    </row>
    <row r="8" spans="4:6" ht="13.5">
      <c r="D8" s="11" t="s">
        <v>16</v>
      </c>
      <c r="E8" s="5">
        <v>478396</v>
      </c>
      <c r="F8" s="12">
        <v>221</v>
      </c>
    </row>
    <row r="9" spans="4:6" ht="13.5">
      <c r="D9" s="11" t="s">
        <v>17</v>
      </c>
      <c r="E9" s="5">
        <v>454298</v>
      </c>
      <c r="F9" s="12">
        <v>209</v>
      </c>
    </row>
    <row r="10" spans="4:6" ht="13.5">
      <c r="D10" s="11" t="s">
        <v>18</v>
      </c>
      <c r="E10" s="5">
        <v>450489</v>
      </c>
      <c r="F10" s="12">
        <v>163</v>
      </c>
    </row>
    <row r="11" spans="4:6" ht="13.5">
      <c r="D11" s="11" t="s">
        <v>19</v>
      </c>
      <c r="E11" s="5">
        <v>445860</v>
      </c>
      <c r="F11" s="12">
        <v>158</v>
      </c>
    </row>
    <row r="12" spans="4:6" ht="13.5">
      <c r="D12" s="11" t="s">
        <v>20</v>
      </c>
      <c r="E12" s="5">
        <v>438336</v>
      </c>
      <c r="F12" s="12">
        <v>155</v>
      </c>
    </row>
    <row r="13" spans="4:6" ht="13.5">
      <c r="D13" s="11" t="s">
        <v>21</v>
      </c>
      <c r="E13" s="5">
        <v>430068</v>
      </c>
      <c r="F13" s="12">
        <v>161</v>
      </c>
    </row>
    <row r="14" spans="4:6" ht="13.5">
      <c r="D14" s="11" t="s">
        <v>22</v>
      </c>
      <c r="E14" s="5">
        <v>421036</v>
      </c>
      <c r="F14" s="12">
        <v>150</v>
      </c>
    </row>
    <row r="15" spans="4:6" ht="13.5">
      <c r="D15" s="11" t="s">
        <v>23</v>
      </c>
      <c r="E15" s="5">
        <v>413533</v>
      </c>
      <c r="F15" s="12">
        <v>135</v>
      </c>
    </row>
    <row r="16" spans="4:6" ht="13.5">
      <c r="D16" s="15" t="s">
        <v>24</v>
      </c>
      <c r="E16" s="16">
        <v>364229</v>
      </c>
      <c r="F16" s="17">
        <v>114</v>
      </c>
    </row>
    <row r="19" spans="4:6" ht="24" customHeight="1">
      <c r="D19" s="19" t="s">
        <v>25</v>
      </c>
      <c r="E19" s="19"/>
      <c r="F19" s="19"/>
    </row>
    <row r="21" spans="4:6">
      <c r="E21" s="2"/>
    </row>
  </sheetData>
  <mergeCells count="2">
    <mergeCell ref="D3:F3"/>
    <mergeCell ref="D19:F19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FE0D6-669F-4620-9C57-4E247C75ACE7}">
  <dimension ref="D3:F14"/>
  <sheetViews>
    <sheetView tabSelected="1" topLeftCell="A3" workbookViewId="0">
      <selection activeCell="F7" sqref="F7:F10"/>
    </sheetView>
  </sheetViews>
  <sheetFormatPr defaultRowHeight="15"/>
  <cols>
    <col min="4" max="4" width="12.7109375" customWidth="1"/>
    <col min="5" max="5" width="19.7109375" customWidth="1"/>
    <col min="6" max="6" width="14.140625" bestFit="1" customWidth="1"/>
  </cols>
  <sheetData>
    <row r="3" spans="4:6" ht="18" customHeight="1">
      <c r="D3" s="19" t="s">
        <v>26</v>
      </c>
      <c r="E3" s="19"/>
    </row>
    <row r="6" spans="4:6" ht="27.75" customHeight="1">
      <c r="D6" s="10" t="s">
        <v>27</v>
      </c>
      <c r="E6" s="10" t="s">
        <v>28</v>
      </c>
      <c r="F6" s="10" t="s">
        <v>29</v>
      </c>
    </row>
    <row r="7" spans="4:6" ht="13.5">
      <c r="D7" s="1" t="s">
        <v>30</v>
      </c>
      <c r="E7" s="6">
        <v>500</v>
      </c>
      <c r="F7" s="9">
        <f>E7/$E$11</f>
        <v>5.6818181818181816E-2</v>
      </c>
    </row>
    <row r="8" spans="4:6" ht="13.5">
      <c r="D8" s="1" t="s">
        <v>31</v>
      </c>
      <c r="E8" s="6">
        <v>1589</v>
      </c>
      <c r="F8" s="9">
        <f t="shared" ref="F8:F10" si="0">E8/$E$11</f>
        <v>0.18056818181818182</v>
      </c>
    </row>
    <row r="9" spans="4:6" ht="13.5">
      <c r="D9" s="1" t="s">
        <v>32</v>
      </c>
      <c r="E9" s="6">
        <v>2473</v>
      </c>
      <c r="F9" s="9">
        <f t="shared" si="0"/>
        <v>0.28102272727272726</v>
      </c>
    </row>
    <row r="10" spans="4:6" ht="13.5">
      <c r="D10" s="1" t="s">
        <v>33</v>
      </c>
      <c r="E10" s="6">
        <v>4238</v>
      </c>
      <c r="F10" s="9">
        <f t="shared" si="0"/>
        <v>0.48159090909090907</v>
      </c>
    </row>
    <row r="11" spans="4:6">
      <c r="D11" s="7" t="s">
        <v>34</v>
      </c>
      <c r="E11" s="8">
        <f>SUM(E7:E10)</f>
        <v>8800</v>
      </c>
    </row>
    <row r="14" spans="4:6" ht="24.75" customHeight="1">
      <c r="D14" s="19" t="s">
        <v>25</v>
      </c>
      <c r="E14" s="19"/>
      <c r="F14" s="18"/>
    </row>
  </sheetData>
  <mergeCells count="2">
    <mergeCell ref="D3:E3"/>
    <mergeCell ref="D14:E14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2026-03-30T13:06:31Z</dcterms:created>
  <dcterms:modified xsi:type="dcterms:W3CDTF">2026-03-30T16:49:33Z</dcterms:modified>
  <cp:category/>
  <cp:contentStatus/>
</cp:coreProperties>
</file>